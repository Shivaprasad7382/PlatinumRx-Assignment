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outlet_id</t>
        </is>
      </c>
      <c r="E1" t="inlineStr">
        <is>
          <t>cms_id</t>
        </is>
      </c>
      <c r="F1" t="inlineStr">
        <is>
          <t>SameDay</t>
        </is>
      </c>
      <c r="G1" t="inlineStr">
        <is>
          <t>SameHour</t>
        </is>
      </c>
    </row>
    <row r="2">
      <c r="A2" t="inlineStr">
        <is>
          <t>isu-sjd-457</t>
        </is>
      </c>
      <c r="B2" t="inlineStr">
        <is>
          <t>2021-08-19 16:45:43</t>
        </is>
      </c>
      <c r="C2" t="inlineStr">
        <is>
          <t>2021-08-22 12:33:32</t>
        </is>
      </c>
      <c r="D2" t="inlineStr">
        <is>
          <t>wrqy-juv-978</t>
        </is>
      </c>
      <c r="E2" t="inlineStr">
        <is>
          <t>vew-iuvd-12</t>
        </is>
      </c>
      <c r="F2">
        <f>IF(AND(B2&lt;&gt;'', C2&lt;&gt;''), INT(B2)=INT(C2), FALSE)</f>
        <v/>
      </c>
      <c r="G2">
        <f>IF(AND(B2&lt;&gt;'', C2&lt;&gt;''), TEXT(B2,"yyyy-mm-dd hh") = TEXT(C2,"yyyy-mm-dd hh"), FALSE)</f>
        <v/>
      </c>
    </row>
    <row r="3">
      <c r="A3" t="inlineStr">
        <is>
          <t>qer-fal-092</t>
        </is>
      </c>
      <c r="B3" t="inlineStr">
        <is>
          <t>2021-08-21 11:09:22</t>
        </is>
      </c>
      <c r="C3" t="inlineStr">
        <is>
          <t>2021-08-21 17:13:45</t>
        </is>
      </c>
      <c r="D3" t="inlineStr">
        <is>
          <t>8woh-k3u-23b</t>
        </is>
      </c>
      <c r="E3" t="inlineStr">
        <is>
          <t>abc-cms-001</t>
        </is>
      </c>
      <c r="F3">
        <f>IF(AND(B3&lt;&gt;'', C3&lt;&gt;''), INT(B3)=INT(C3), FALSE)</f>
        <v/>
      </c>
      <c r="G3">
        <f>IF(AND(B3&lt;&gt;'', C3&lt;&gt;''), TEXT(B3,"yyyy-mm-dd hh") = TEXT(C3,"yyyy-mm-dd hh"), FALSE)</f>
        <v/>
      </c>
    </row>
    <row r="4">
      <c r="A4" t="inlineStr">
        <is>
          <t>tk-0002</t>
        </is>
      </c>
      <c r="B4" t="inlineStr">
        <is>
          <t>2021-09-01 09:00:00</t>
        </is>
      </c>
      <c r="C4" t="inlineStr">
        <is>
          <t>2021-09-01 09:45:00</t>
        </is>
      </c>
      <c r="D4" t="inlineStr">
        <is>
          <t>wrqy-juv-978</t>
        </is>
      </c>
      <c r="E4" t="inlineStr">
        <is>
          <t>vew-iuvd-13</t>
        </is>
      </c>
      <c r="F4">
        <f>IF(AND(B4&lt;&gt;'', C4&lt;&gt;''), INT(B4)=INT(C4), FALSE)</f>
        <v/>
      </c>
      <c r="G4">
        <f>IF(AND(B4&lt;&gt;'', C4&lt;&gt;''), TEXT(B4,"yyyy-mm-dd hh") = TEXT(C4,"yyyy-mm-dd hh"), FALSE)</f>
        <v/>
      </c>
    </row>
    <row r="5">
      <c r="A5" t="inlineStr">
        <is>
          <t>tk-0003</t>
        </is>
      </c>
      <c r="B5" t="inlineStr">
        <is>
          <t>2021-09-01 09:30:00</t>
        </is>
      </c>
      <c r="C5" t="inlineStr">
        <is>
          <t>2021-09-01 09:30:00</t>
        </is>
      </c>
      <c r="D5" t="inlineStr">
        <is>
          <t>wrqy-juv-978</t>
        </is>
      </c>
      <c r="E5" t="inlineStr">
        <is>
          <t>vew-iuvd-14</t>
        </is>
      </c>
      <c r="F5">
        <f>IF(AND(B5&lt;&gt;'', C5&lt;&gt;''), INT(B5)=INT(C5), FALSE)</f>
        <v/>
      </c>
      <c r="G5">
        <f>IF(AND(B5&lt;&gt;'', C5&lt;&gt;''), TEXT(B5,"yyyy-mm-dd hh") = TEXT(C5,"yyyy-mm-dd hh"), FALSE)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feedback_at</t>
        </is>
      </c>
      <c r="C1" t="inlineStr">
        <is>
          <t>feedback_rating</t>
        </is>
      </c>
      <c r="D1" t="inlineStr">
        <is>
          <t>ticket_created_at</t>
        </is>
      </c>
    </row>
    <row r="2">
      <c r="A2" t="inlineStr">
        <is>
          <t>vew-iuvd-12</t>
        </is>
      </c>
      <c r="B2" t="inlineStr">
        <is>
          <t>2021-08-21 13:26:48</t>
        </is>
      </c>
      <c r="C2" t="n">
        <v>3</v>
      </c>
      <c r="D2" t="inlineStr"/>
    </row>
    <row r="3">
      <c r="A3" t="inlineStr">
        <is>
          <t>abc-cms-001</t>
        </is>
      </c>
      <c r="B3" t="inlineStr">
        <is>
          <t>2021-08-21 18:00:00</t>
        </is>
      </c>
      <c r="C3" t="n">
        <v>4</v>
      </c>
      <c r="D3" t="inlineStr"/>
    </row>
    <row r="4">
      <c r="A4" t="inlineStr">
        <is>
          <t>vew-iuvd-13</t>
        </is>
      </c>
      <c r="B4" t="inlineStr">
        <is>
          <t>2021-09-01 10:00:00</t>
        </is>
      </c>
      <c r="C4" t="n">
        <v>5</v>
      </c>
      <c r="D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-&gt; Feedback mapping formulas</t>
        </is>
      </c>
    </row>
    <row r="2">
      <c r="A2" t="inlineStr">
        <is>
          <t>In feedbacks!D2 (XLOOKUP):</t>
        </is>
      </c>
    </row>
    <row r="3">
      <c r="A3">
        <f>XLOOKUP(A2, ticket!E:E, ticket!B:B, "")</f>
        <v/>
      </c>
    </row>
    <row r="5">
      <c r="A5" t="inlineStr">
        <is>
          <t>If XLOOKUP not available, use INDEX/MATCH:</t>
        </is>
      </c>
    </row>
    <row r="6">
      <c r="A6">
        <f>IFERROR(INDEX(ticket!B:B, MATCH(A2, ticket!E:E, 0)), "")</f>
        <v/>
      </c>
    </row>
    <row r="8">
      <c r="A8" t="inlineStr">
        <is>
          <t>Outlet summary formulas (example using outlet id in cell F2):</t>
        </is>
      </c>
    </row>
    <row r="9">
      <c r="A9">
        <f>COUNTIFS(ticket!D:D, $F2, ticket!F:F, TRUE)  // same day</f>
        <v/>
      </c>
    </row>
    <row r="10">
      <c r="A10">
        <f>COUNTIFS(ticket!D:D, $F2, ticket!G:G, TRUE)  // same hour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2025-12-03T04:47:33Z</dcterms:created>
  <dcterms:modified xmlns:dcterms="http://purl.org/dc/terms/" xmlns:xsi="http://www.w3.org/2001/XMLSchema-instance" xsi:type="dcterms:W3CDTF">2025-12-03T04:47:33Z</dcterms:modified>
</cp:coreProperties>
</file>